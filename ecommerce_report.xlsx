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kik\Desktop\E-commerce Sales Performance Dashboard\"/>
    </mc:Choice>
  </mc:AlternateContent>
  <xr:revisionPtr revIDLastSave="0" documentId="13_ncr:9_{39384B0E-DF8D-4379-8C1C-9AFFA07E465F}" xr6:coauthVersionLast="47" xr6:coauthVersionMax="47" xr10:uidLastSave="{00000000-0000-0000-0000-000000000000}"/>
  <bookViews>
    <workbookView xWindow="-108" yWindow="-108" windowWidth="23256" windowHeight="12456" tabRatio="754" xr2:uid="{CF409DB0-504A-43E8-BA65-70CD3883103C}"/>
  </bookViews>
  <sheets>
    <sheet name="Revenue Pivot" sheetId="2" r:id="rId1"/>
    <sheet name="Revenue Chart" sheetId="3" r:id="rId2"/>
    <sheet name="Top Categories" sheetId="4" r:id="rId3"/>
    <sheet name="Delivery vs Score" sheetId="5" r:id="rId4"/>
    <sheet name="Payment Methods" sheetId="6" r:id="rId5"/>
    <sheet name="Revenue by State" sheetId="7" r:id="rId6"/>
    <sheet name="Dashboard" sheetId="8" r:id="rId7"/>
    <sheet name="sql_monthly_revenue" sheetId="1" state="hidden" r:id="rId8"/>
  </sheets>
  <calcPr calcId="0"/>
  <pivotCaches>
    <pivotCache cacheId="3" r:id="rId9"/>
  </pivotCaches>
</workbook>
</file>

<file path=xl/sharedStrings.xml><?xml version="1.0" encoding="utf-8"?>
<sst xmlns="http://schemas.openxmlformats.org/spreadsheetml/2006/main" count="121" uniqueCount="94">
  <si>
    <t>order_month</t>
  </si>
  <si>
    <t>total_revenue</t>
  </si>
  <si>
    <t>total_orders</t>
  </si>
  <si>
    <t>avg_order_value</t>
  </si>
  <si>
    <t>2016-10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</si>
  <si>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</si>
  <si>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</si>
  <si>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</si>
  <si>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</si>
  <si>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</si>
  <si>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</si>
  <si>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</si>
  <si>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</si>
  <si>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</si>
  <si>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</si>
  <si>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</si>
  <si>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</si>
  <si>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</si>
  <si>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</si>
  <si>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</si>
  <si>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</si>
  <si>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</si>
  <si>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</si>
  <si>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</si>
  <si>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</si>
  <si>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Row Labels</t>
  </si>
  <si>
    <t>Grand Total</t>
  </si>
  <si>
    <t>Sum of total_revenue</t>
  </si>
  <si>
    <t>category</t>
  </si>
  <si>
    <t>avg_price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</si>
  <si>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</si>
  <si>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</si>
  <si>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</si>
  <si>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</si>
  <si>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</si>
  <si>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</si>
  <si>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</si>
  <si>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</si>
  <si>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</si>
  <si>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</si>
  <si>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review_score</t>
  </si>
  <si>
    <t>avg_delivery_days</t>
  </si>
  <si>
    <t>payment_type</t>
  </si>
  <si>
    <t>total_transactions</t>
  </si>
  <si>
    <t>avg_payment</t>
  </si>
  <si>
    <t>credit_card</t>
  </si>
  <si>
    <t>boleto</t>
  </si>
  <si>
    <t>voucher</t>
  </si>
  <si>
    <t>debit_card</t>
  </si>
  <si>
    <t>not_defined</t>
  </si>
  <si>
    <t>state</t>
  </si>
  <si>
    <t>total_spent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</si>
  <si>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</si>
  <si>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</si>
  <si>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</si>
  <si>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</si>
  <si>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</si>
  <si>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</si>
  <si>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</si>
  <si>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</si>
  <si>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</si>
  <si>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</si>
  <si>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</si>
  <si>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</si>
  <si>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</si>
  <si>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</si>
  <si>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</si>
  <si>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</si>
  <si>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</si>
  <si>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</si>
  <si>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</si>
  <si>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</si>
  <si>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</si>
  <si>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</si>
  <si>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</si>
  <si>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</si>
  <si>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</si>
  <si>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</si>
  <si>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</si>
  <si>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Metric</t>
  </si>
  <si>
    <t>Value</t>
  </si>
  <si>
    <t>Total Revenue</t>
  </si>
  <si>
    <t>Total Order</t>
  </si>
  <si>
    <t xml:space="preserve">Avg Order Value </t>
  </si>
  <si>
    <t>Avg Delivery Days</t>
  </si>
  <si>
    <t>5-Star Review %</t>
  </si>
  <si>
    <t>Top State</t>
  </si>
  <si>
    <t>Best Month</t>
  </si>
  <si>
    <t>Credit Card Usage</t>
  </si>
  <si>
    <t>R$ 15,422,461</t>
  </si>
  <si>
    <t>R$ 153.07</t>
  </si>
  <si>
    <t>São Paulo (SP)</t>
  </si>
  <si>
    <t>Nov 2017 (Black Friday)</t>
  </si>
  <si>
    <t>Olist E-commerce Analysis - Key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</si>
</sst>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[ecommerce_report.xlsx]Revenue 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Pivot'!$A$4:$A$25</c:f>
              <c:strCache>
                <c:ptCount val="21"/>
                <c:pt idx="0">
                  <c:v>2016-10</c:v>
                </c:pt>
                <c:pt idx="1">
                  <c:v>2017-01</c:v>
                </c:pt>
                <c:pt idx="2">
                  <c:v>2017-02</c:v>
                </c:pt>
                <c:pt idx="3">
                  <c:v>2017-03</c:v>
                </c:pt>
                <c:pt idx="4">
                  <c:v>2017-04</c:v>
                </c:pt>
                <c:pt idx="5">
                  <c:v>2017-05</c:v>
                </c:pt>
                <c:pt idx="6">
                  <c:v>2017-06</c:v>
                </c:pt>
                <c:pt idx="7">
                  <c:v>2017-07</c:v>
                </c:pt>
                <c:pt idx="8">
                  <c:v>2017-08</c:v>
                </c:pt>
                <c:pt idx="9">
                  <c:v>2017-09</c:v>
                </c:pt>
                <c:pt idx="10">
                  <c:v>2017-10</c:v>
                </c:pt>
                <c:pt idx="11">
                  <c:v>2017-11</c:v>
                </c:pt>
                <c:pt idx="12">
                  <c:v>2017-12</c:v>
                </c:pt>
                <c:pt idx="13">
                  <c:v>2018-01</c:v>
                </c:pt>
                <c:pt idx="14">
                  <c:v>2018-02</c:v>
                </c:pt>
                <c:pt idx="15">
                  <c:v>2018-03</c:v>
                </c:pt>
                <c:pt idx="16">
                  <c:v>2018-04</c:v>
                </c:pt>
                <c:pt idx="17">
                  <c:v>2018-05</c:v>
                </c:pt>
                <c:pt idx="18">
                  <c:v>2018-06</c:v>
                </c:pt>
                <c:pt idx="19">
                  <c:v>2018-07</c:v>
                </c:pt>
                <c:pt idx="20">
                  <c:v>2018-08</c:v>
                </c:pt>
              </c:strCache>
            </c:strRef>
          </c:cat>
          <c:val>
            <c:numRef>
              <c:f>'Revenue Pivot'!$B$4:$B$25</c:f>
              <c:numCache>
                <c:formatCode>#,##0</c:formatCode>
                <c:ptCount val="21"/>
                <c:pt idx="0">
                  <c:v>46566.71</c:v>
                </c:pt>
                <c:pt idx="1">
                  <c:v>127545.67</c:v>
                </c:pt>
                <c:pt idx="2">
                  <c:v>271298.65000000002</c:v>
                </c:pt>
                <c:pt idx="3">
                  <c:v>414369.39</c:v>
                </c:pt>
                <c:pt idx="4">
                  <c:v>390952.18</c:v>
                </c:pt>
                <c:pt idx="5">
                  <c:v>567066.73</c:v>
                </c:pt>
                <c:pt idx="6">
                  <c:v>490225.6</c:v>
                </c:pt>
                <c:pt idx="7">
                  <c:v>566403.93000000005</c:v>
                </c:pt>
                <c:pt idx="8">
                  <c:v>646000.61</c:v>
                </c:pt>
                <c:pt idx="9">
                  <c:v>701169.99</c:v>
                </c:pt>
                <c:pt idx="10">
                  <c:v>751140.27</c:v>
                </c:pt>
                <c:pt idx="11">
                  <c:v>1153528.05</c:v>
                </c:pt>
                <c:pt idx="12">
                  <c:v>843199.17</c:v>
                </c:pt>
                <c:pt idx="13">
                  <c:v>1078606.8600000001</c:v>
                </c:pt>
                <c:pt idx="14">
                  <c:v>966510.88</c:v>
                </c:pt>
                <c:pt idx="15">
                  <c:v>1120678</c:v>
                </c:pt>
                <c:pt idx="16">
                  <c:v>1132933.95</c:v>
                </c:pt>
                <c:pt idx="17">
                  <c:v>1128836.69</c:v>
                </c:pt>
                <c:pt idx="18">
                  <c:v>1012090.68</c:v>
                </c:pt>
                <c:pt idx="19">
                  <c:v>1027903.86</c:v>
                </c:pt>
                <c:pt idx="20">
                  <c:v>985414.28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E-4E9A-8A9C-2FED7942B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154272"/>
        <c:axId val="446154752"/>
      </c:lineChart>
      <c:catAx>
        <c:axId val="4461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54752"/>
        <c:crosses val="autoZero"/>
        <c:auto val="1"/>
        <c:lblAlgn val="ctr"/>
        <c:lblOffset val="100"/>
        <c:noMultiLvlLbl val="0"/>
      </c:catAx>
      <c:valAx>
        <c:axId val="4461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 Categories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Categories'!$B$1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Categories'!$A$2:$A$11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</c:strCache>
            </c:strRef>
          </c:cat>
          <c:val>
            <c:numRef>
              <c:f>'Top Categories'!$B$2:$B$11</c:f>
              <c:numCache>
                <c:formatCode>General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E-44D4-AFA5-1EC4CE162117}"/>
            </c:ext>
          </c:extLst>
        </c:ser>
        <c:ser>
          <c:idx val="1"/>
          <c:order val="1"/>
          <c:tx>
            <c:strRef>
              <c:f>'Top Categories'!$C$1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Categories'!$A$2:$A$11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</c:strCache>
            </c:strRef>
          </c:cat>
          <c:val>
            <c:numRef>
              <c:f>'Top Categories'!$C$2:$C$11</c:f>
              <c:numCache>
                <c:formatCode>General</c:formatCode>
                <c:ptCount val="10"/>
                <c:pt idx="0">
                  <c:v>8836</c:v>
                </c:pt>
                <c:pt idx="1">
                  <c:v>5624</c:v>
                </c:pt>
                <c:pt idx="2">
                  <c:v>9417</c:v>
                </c:pt>
                <c:pt idx="3">
                  <c:v>7720</c:v>
                </c:pt>
                <c:pt idx="4">
                  <c:v>6689</c:v>
                </c:pt>
                <c:pt idx="5">
                  <c:v>6449</c:v>
                </c:pt>
                <c:pt idx="6">
                  <c:v>3632</c:v>
                </c:pt>
                <c:pt idx="7">
                  <c:v>5884</c:v>
                </c:pt>
                <c:pt idx="8">
                  <c:v>3897</c:v>
                </c:pt>
                <c:pt idx="9">
                  <c:v>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E-44D4-AFA5-1EC4CE162117}"/>
            </c:ext>
          </c:extLst>
        </c:ser>
        <c:ser>
          <c:idx val="2"/>
          <c:order val="2"/>
          <c:tx>
            <c:strRef>
              <c:f>'Top Categories'!$D$1</c:f>
              <c:strCache>
                <c:ptCount val="1"/>
                <c:pt idx="0">
                  <c:v>avg_price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Categories'!$A$2:$A$11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</c:strCache>
            </c:strRef>
          </c:cat>
          <c:val>
            <c:numRef>
              <c:f>'Top Categories'!$D$2:$D$11</c:f>
              <c:numCache>
                <c:formatCode>General</c:formatCode>
                <c:ptCount val="10"/>
                <c:pt idx="0">
                  <c:v>130.16</c:v>
                </c:pt>
                <c:pt idx="1">
                  <c:v>201.14</c:v>
                </c:pt>
                <c:pt idx="2">
                  <c:v>93.3</c:v>
                </c:pt>
                <c:pt idx="3">
                  <c:v>114.34</c:v>
                </c:pt>
                <c:pt idx="4">
                  <c:v>116.51</c:v>
                </c:pt>
                <c:pt idx="5">
                  <c:v>87.56</c:v>
                </c:pt>
                <c:pt idx="6">
                  <c:v>167.36</c:v>
                </c:pt>
                <c:pt idx="7">
                  <c:v>90.79</c:v>
                </c:pt>
                <c:pt idx="8">
                  <c:v>139.96</c:v>
                </c:pt>
                <c:pt idx="9">
                  <c:v>111.63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7E-44D4-AFA5-1EC4CE16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6187392"/>
        <c:axId val="446188352"/>
      </c:barChart>
      <c:catAx>
        <c:axId val="446187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88352"/>
        <c:crosses val="autoZero"/>
        <c:auto val="1"/>
        <c:lblAlgn val="ctr"/>
        <c:lblOffset val="100"/>
        <c:noMultiLvlLbl val="0"/>
      </c:catAx>
      <c:valAx>
        <c:axId val="4461883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Avd</a:t>
            </a:r>
            <a:r>
              <a:rPr lang="en-US" baseline="0"/>
              <a:t> Delivery Days by Review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vs Score'!$B$1</c:f>
              <c:strCache>
                <c:ptCount val="1"/>
                <c:pt idx="0">
                  <c:v>avg_delivery_days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B3-40B8-9DE6-68EB143FCA1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B3-40B8-9DE6-68EB143FCA10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B3-40B8-9DE6-68EB143FCA10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B3-40B8-9DE6-68EB143FCA1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B3-40B8-9DE6-68EB143FCA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'Delivery vs Score'!$A$2:$A$6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'Delivery vs Score'!$B$2:$B$6</c:f>
              <c:numCache>
                <c:formatCode>General</c:formatCode>
                <c:ptCount val="5"/>
                <c:pt idx="0">
                  <c:v>20.8</c:v>
                </c:pt>
                <c:pt idx="1">
                  <c:v>16.2</c:v>
                </c:pt>
                <c:pt idx="2">
                  <c:v>13.8</c:v>
                </c:pt>
                <c:pt idx="3">
                  <c:v>11.8</c:v>
                </c:pt>
                <c:pt idx="4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3-40B8-9DE6-68EB143FC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043392"/>
        <c:axId val="227042432"/>
      </c:barChart>
      <c:catAx>
        <c:axId val="2270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42432"/>
        <c:crosses val="autoZero"/>
        <c:auto val="1"/>
        <c:lblAlgn val="ctr"/>
        <c:lblOffset val="100"/>
        <c:noMultiLvlLbl val="0"/>
      </c:catAx>
      <c:valAx>
        <c:axId val="2270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4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 Breakdown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'Payment Methods'!$B$1</c:f>
              <c:strCache>
                <c:ptCount val="1"/>
                <c:pt idx="0">
                  <c:v>total_transactions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'Payment Methods'!$A$2:$A$6</c15:sqref>
                  </c15:fullRef>
                </c:ext>
              </c:extLst>
              <c:f>'Payment Methods'!$A$2:$A$5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'Payment Methods'!$B$2:$B$6</c15:sqref>
                  </c15:fullRef>
                </c:ext>
              </c:extLst>
              <c:f>'Payment Methods'!$B$2:$B$5</c:f>
              <c:numCache>
                <c:formatCode>General</c:formatCode>
                <c:ptCount val="4"/>
                <c:pt idx="0">
                  <c:v>76795</c:v>
                </c:pt>
                <c:pt idx="1">
                  <c:v>19784</c:v>
                </c:pt>
                <c:pt idx="2">
                  <c:v>5775</c:v>
                </c:pt>
                <c:pt idx="3">
                  <c:v>1529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D6AC-4C86-81B6-3C03A4254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8D4646-A719-4BCD-B7F9-06AB5CC6A37F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FC84A-DB5B-ECF1-790E-0D4AB8903A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175260</xdr:rowOff>
    </xdr:from>
    <xdr:to>
      <xdr:col>15</xdr:col>
      <xdr:colOff>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17C70-BB2E-94B8-EF6D-015814975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179070</xdr:rowOff>
    </xdr:from>
    <xdr:to>
      <xdr:col>11</xdr:col>
      <xdr:colOff>594360</xdr:colOff>
      <xdr:row>15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BB30EE-1DE5-D96D-8082-074221B1F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5229</xdr:colOff>
      <xdr:row>0</xdr:row>
      <xdr:rowOff>152627</xdr:rowOff>
    </xdr:from>
    <xdr:to>
      <xdr:col>15</xdr:col>
      <xdr:colOff>15394</xdr:colOff>
      <xdr:row>17</xdr:row>
      <xdr:rowOff>153938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C8B94F-BFF6-4237-2DB2-2C9989B32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ukik" refreshedDate="46119.510738425925" createdVersion="8" refreshedVersion="8" minRefreshableVersion="3" recordCount="21" xr:uid="{BECA2D2C-2515-44DF-AB57-FBAC69E5E5B3}">
  <cacheSource type="worksheet">
    <worksheetSource name="Table1"/>
  </cacheSource>
  <cacheFields count="4">
    <cacheField name="order_month" numFmtId="0">
      <sharedItems count="21">
        <s v="2016-10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</sharedItems>
    </cacheField>
    <cacheField name="total_revenue" numFmtId="0">
      <sharedItems containsSemiMixedTypes="0" containsString="0" containsNumber="1" minValue="46566.71" maxValue="1153528.05"/>
    </cacheField>
    <cacheField name="total_orders" numFmtId="0">
      <sharedItems containsSemiMixedTypes="0" containsString="0" containsNumber="1" containsInteger="1" minValue="265" maxValue="7289"/>
    </cacheField>
    <cacheField name="avg_order_value" numFmtId="0">
      <sharedItems containsSemiMixedTypes="0" containsString="0" containsNumber="1" minValue="136.58000000000001" maxValue="165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46566.71"/>
    <n v="265"/>
    <n v="165.13"/>
  </r>
  <r>
    <x v="1"/>
    <n v="127545.67"/>
    <n v="750"/>
    <n v="159.63"/>
  </r>
  <r>
    <x v="2"/>
    <n v="271298.65000000002"/>
    <n v="1653"/>
    <n v="155.12"/>
  </r>
  <r>
    <x v="3"/>
    <n v="414369.39"/>
    <n v="2546"/>
    <n v="153.47"/>
  </r>
  <r>
    <x v="4"/>
    <n v="390952.18"/>
    <n v="2303"/>
    <n v="160.49"/>
  </r>
  <r>
    <x v="5"/>
    <n v="567066.73"/>
    <n v="3546"/>
    <n v="149.74"/>
  </r>
  <r>
    <x v="6"/>
    <n v="490225.6"/>
    <n v="3135"/>
    <n v="147.53"/>
  </r>
  <r>
    <x v="7"/>
    <n v="566403.93000000005"/>
    <n v="3872"/>
    <n v="136.58000000000001"/>
  </r>
  <r>
    <x v="8"/>
    <n v="646000.61"/>
    <n v="4193"/>
    <n v="147.05000000000001"/>
  </r>
  <r>
    <x v="9"/>
    <n v="701169.99"/>
    <n v="4150"/>
    <n v="160.41"/>
  </r>
  <r>
    <x v="10"/>
    <n v="751140.27"/>
    <n v="4478"/>
    <n v="159.88999999999999"/>
  </r>
  <r>
    <x v="11"/>
    <n v="1153528.05"/>
    <n v="7289"/>
    <n v="151.91999999999999"/>
  </r>
  <r>
    <x v="12"/>
    <n v="843199.17"/>
    <n v="5513"/>
    <n v="147.18"/>
  </r>
  <r>
    <x v="13"/>
    <n v="1078606.8600000001"/>
    <n v="7069"/>
    <n v="146.72999999999999"/>
  </r>
  <r>
    <x v="14"/>
    <n v="966510.88"/>
    <n v="6555"/>
    <n v="142.63999999999999"/>
  </r>
  <r>
    <x v="15"/>
    <n v="1120678"/>
    <n v="7003"/>
    <n v="153.58000000000001"/>
  </r>
  <r>
    <x v="16"/>
    <n v="1132933.95"/>
    <n v="6798"/>
    <n v="160.31"/>
  </r>
  <r>
    <x v="17"/>
    <n v="1128836.69"/>
    <n v="6749"/>
    <n v="161.22"/>
  </r>
  <r>
    <x v="18"/>
    <n v="1012090.68"/>
    <n v="6099"/>
    <n v="159.38"/>
  </r>
  <r>
    <x v="19"/>
    <n v="1027903.86"/>
    <n v="6159"/>
    <n v="161.37"/>
  </r>
  <r>
    <x v="20"/>
    <n v="985414.28"/>
    <n v="6351"/>
    <n v="150.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36668-27BA-446F-A8FD-80D76EF4007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5" firstHeaderRow="1" firstDataRow="1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_revenue" fld="1" baseField="0" baseItem="0" numFmtId="3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523BF1-1A31-4237-926D-BF95ABEBC9B6}" name="Table2" displayName="Table2" ref="A2:B10" totalsRowShown="0">
  <autoFilter ref="A2:B10" xr:uid="{86523BF1-1A31-4237-926D-BF95ABEBC9B6}"/>
  <tableColumns count="2">
    <tableColumn id="1" xr3:uid="{BBE414AA-FE5F-4EB3-9CD0-572343007941}" name="Metric"/>
    <tableColumn id="2" xr3:uid="{B37C7987-64DB-413E-9954-AADFF799535D}" name="Valu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B5F3A-7E66-4983-8B27-37F40F6704E8}" name="Table1" displayName="Table1" ref="A1:D22" totalsRowShown="0">
  <autoFilter ref="A1:D22" xr:uid="{1A8B5F3A-7E66-4983-8B27-37F40F6704E8}"/>
  <tableColumns count="4">
    <tableColumn id="1" xr3:uid="{EC5D1F30-3ECD-41EA-A91A-675FEC0BBDB6}" name="order_month"/>
    <tableColumn id="2" xr3:uid="{722BDEEA-B8F7-461C-B985-2100AC548292}" name="total_revenue"/>
    <tableColumn id="3" xr3:uid="{251488FF-6FBE-472B-9F14-3B18B0DFEB42}" name="total_orders"/>
    <tableColumn id="4" xr3:uid="{1F94E4B1-898E-494A-BCF5-1BFE5CC06951}" name="avg_orde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F3C6-C666-4A3B-BDE4-D69E881A7759}">
  <dimension ref="A3:B25"/>
  <sheetViews>
    <sheetView tabSelected="1" workbookViewId="0">
      <selection activeCell="M9" sqref="M9"/>
    </sheetView>
  </sheetViews>
  <sheetFormatPr defaultRowHeight="14.4" x14ac:dyDescent="0.3"/>
  <cols>
    <col min="1" max="1" width="12.5546875" bestFit="1" customWidth="1"/>
    <col min="2" max="2" width="19.44140625" bestFit="1" customWidth="1"/>
  </cols>
  <sheetData>
    <row r="3" spans="1:2" x14ac:dyDescent="0.3">
      <c r="A3" s="1" t="s">
        <v>25</v>
      </c>
      <c r="B3" t="s">
        <v>27</v>
      </c>
    </row>
    <row r="4" spans="1:2" x14ac:dyDescent="0.3">
      <c r="A4" s="2" t="s">
        <v>4</v>
      </c>
      <c r="B4" s="3">
        <v>46566.71</v>
      </c>
    </row>
    <row r="5" spans="1:2" x14ac:dyDescent="0.3">
      <c r="A5" s="2" t="s">
        <v>5</v>
      </c>
      <c r="B5" s="3">
        <v>127545.67</v>
      </c>
    </row>
    <row r="6" spans="1:2" x14ac:dyDescent="0.3">
      <c r="A6" s="2" t="s">
        <v>6</v>
      </c>
      <c r="B6" s="3">
        <v>271298.65000000002</v>
      </c>
    </row>
    <row r="7" spans="1:2" x14ac:dyDescent="0.3">
      <c r="A7" s="2" t="s">
        <v>7</v>
      </c>
      <c r="B7" s="3">
        <v>414369.39</v>
      </c>
    </row>
    <row r="8" spans="1:2" x14ac:dyDescent="0.3">
      <c r="A8" s="2" t="s">
        <v>8</v>
      </c>
      <c r="B8" s="3">
        <v>390952.18</v>
      </c>
    </row>
    <row r="9" spans="1:2" x14ac:dyDescent="0.3">
      <c r="A9" s="2" t="s">
        <v>9</v>
      </c>
      <c r="B9" s="3">
        <v>567066.73</v>
      </c>
    </row>
    <row r="10" spans="1:2" x14ac:dyDescent="0.3">
      <c r="A10" s="2" t="s">
        <v>10</v>
      </c>
      <c r="B10" s="3">
        <v>490225.6</v>
      </c>
    </row>
    <row r="11" spans="1:2" x14ac:dyDescent="0.3">
      <c r="A11" s="2" t="s">
        <v>11</v>
      </c>
      <c r="B11" s="3">
        <v>566403.93000000005</v>
      </c>
    </row>
    <row r="12" spans="1:2" x14ac:dyDescent="0.3">
      <c r="A12" s="2" t="s">
        <v>12</v>
      </c>
      <c r="B12" s="3">
        <v>646000.61</v>
      </c>
    </row>
    <row r="13" spans="1:2" x14ac:dyDescent="0.3">
      <c r="A13" s="2" t="s">
        <v>13</v>
      </c>
      <c r="B13" s="3">
        <v>701169.99</v>
      </c>
    </row>
    <row r="14" spans="1:2" x14ac:dyDescent="0.3">
      <c r="A14" s="2" t="s">
        <v>14</v>
      </c>
      <c r="B14" s="3">
        <v>751140.27</v>
      </c>
    </row>
    <row r="15" spans="1:2" x14ac:dyDescent="0.3">
      <c r="A15" s="2" t="s">
        <v>15</v>
      </c>
      <c r="B15" s="3">
        <v>1153528.05</v>
      </c>
    </row>
    <row r="16" spans="1:2" x14ac:dyDescent="0.3">
      <c r="A16" s="2" t="s">
        <v>16</v>
      </c>
      <c r="B16" s="3">
        <v>843199.17</v>
      </c>
    </row>
    <row r="17" spans="1:2" x14ac:dyDescent="0.3">
      <c r="A17" s="2" t="s">
        <v>17</v>
      </c>
      <c r="B17" s="3">
        <v>1078606.8600000001</v>
      </c>
    </row>
    <row r="18" spans="1:2" x14ac:dyDescent="0.3">
      <c r="A18" s="2" t="s">
        <v>18</v>
      </c>
      <c r="B18" s="3">
        <v>966510.88</v>
      </c>
    </row>
    <row r="19" spans="1:2" x14ac:dyDescent="0.3">
      <c r="A19" s="2" t="s">
        <v>19</v>
      </c>
      <c r="B19" s="3">
        <v>1120678</v>
      </c>
    </row>
    <row r="20" spans="1:2" x14ac:dyDescent="0.3">
      <c r="A20" s="2" t="s">
        <v>20</v>
      </c>
      <c r="B20" s="3">
        <v>1132933.95</v>
      </c>
    </row>
    <row r="21" spans="1:2" x14ac:dyDescent="0.3">
      <c r="A21" s="2" t="s">
        <v>21</v>
      </c>
      <c r="B21" s="3">
        <v>1128836.69</v>
      </c>
    </row>
    <row r="22" spans="1:2" x14ac:dyDescent="0.3">
      <c r="A22" s="2" t="s">
        <v>22</v>
      </c>
      <c r="B22" s="3">
        <v>1012090.68</v>
      </c>
    </row>
    <row r="23" spans="1:2" x14ac:dyDescent="0.3">
      <c r="A23" s="2" t="s">
        <v>23</v>
      </c>
      <c r="B23" s="3">
        <v>1027903.86</v>
      </c>
    </row>
    <row r="24" spans="1:2" x14ac:dyDescent="0.3">
      <c r="A24" s="2" t="s">
        <v>24</v>
      </c>
      <c r="B24" s="3">
        <v>985414.28</v>
      </c>
    </row>
    <row r="25" spans="1:2" x14ac:dyDescent="0.3">
      <c r="A25" s="2" t="s">
        <v>26</v>
      </c>
      <c r="B25" s="3">
        <v>15422442.149999999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8741-3FDA-4C7E-AF7A-DE8EA4A7BE64}">
  <dimension ref="A1:D11"/>
  <sheetViews>
    <sheetView workbookViewId="0">
      <selection activeCell="Q8" sqref="Q8"/>
    </sheetView>
  </sheetViews>
  <sheetFormatPr defaultRowHeight="14.4" x14ac:dyDescent="0.3"/>
  <sheetData>
    <row r="1" spans="1:4" x14ac:dyDescent="0.3">
      <c r="A1" t="s">
        <v>28</v>
      </c>
      <c r="B1" t="s">
        <v>1</v>
      </c>
      <c r="C1" t="s">
        <v>2</v>
      </c>
      <c r="D1" t="s">
        <v>29</v>
      </c>
    </row>
    <row r="2" spans="1:4" x14ac:dyDescent="0.3">
      <c r="A2" t="s">
        <v>30</v>
      </c>
      <c r="B2">
        <v>1258681.3400000001</v>
      </c>
      <c r="C2">
        <v>8836</v>
      </c>
      <c r="D2">
        <v>130.16</v>
      </c>
    </row>
    <row r="3" spans="1:4" x14ac:dyDescent="0.3">
      <c r="A3" t="s">
        <v>31</v>
      </c>
      <c r="B3">
        <v>1205005.68</v>
      </c>
      <c r="C3">
        <v>5624</v>
      </c>
      <c r="D3">
        <v>201.14</v>
      </c>
    </row>
    <row r="4" spans="1:4" x14ac:dyDescent="0.3">
      <c r="A4" t="s">
        <v>32</v>
      </c>
      <c r="B4">
        <v>1036988.68</v>
      </c>
      <c r="C4">
        <v>9417</v>
      </c>
      <c r="D4">
        <v>93.3</v>
      </c>
    </row>
    <row r="5" spans="1:4" x14ac:dyDescent="0.3">
      <c r="A5" t="s">
        <v>33</v>
      </c>
      <c r="B5">
        <v>988048.97</v>
      </c>
      <c r="C5">
        <v>7720</v>
      </c>
      <c r="D5">
        <v>114.34</v>
      </c>
    </row>
    <row r="6" spans="1:4" x14ac:dyDescent="0.3">
      <c r="A6" t="s">
        <v>34</v>
      </c>
      <c r="B6">
        <v>911954.32</v>
      </c>
      <c r="C6">
        <v>6689</v>
      </c>
      <c r="D6">
        <v>116.51</v>
      </c>
    </row>
    <row r="7" spans="1:4" x14ac:dyDescent="0.3">
      <c r="A7" t="s">
        <v>35</v>
      </c>
      <c r="B7">
        <v>729762.49</v>
      </c>
      <c r="C7">
        <v>6449</v>
      </c>
      <c r="D7">
        <v>87.56</v>
      </c>
    </row>
    <row r="8" spans="1:4" x14ac:dyDescent="0.3">
      <c r="A8" t="s">
        <v>36</v>
      </c>
      <c r="B8">
        <v>635290.85</v>
      </c>
      <c r="C8">
        <v>3632</v>
      </c>
      <c r="D8">
        <v>167.36</v>
      </c>
    </row>
    <row r="9" spans="1:4" x14ac:dyDescent="0.3">
      <c r="A9" t="s">
        <v>37</v>
      </c>
      <c r="B9">
        <v>632248.66</v>
      </c>
      <c r="C9">
        <v>5884</v>
      </c>
      <c r="D9">
        <v>90.79</v>
      </c>
    </row>
    <row r="10" spans="1:4" x14ac:dyDescent="0.3">
      <c r="A10" t="s">
        <v>38</v>
      </c>
      <c r="B10">
        <v>592720.11</v>
      </c>
      <c r="C10">
        <v>3897</v>
      </c>
      <c r="D10">
        <v>139.96</v>
      </c>
    </row>
    <row r="11" spans="1:4" x14ac:dyDescent="0.3">
      <c r="A11" t="s">
        <v>39</v>
      </c>
      <c r="B11">
        <v>485256.46</v>
      </c>
      <c r="C11">
        <v>3518</v>
      </c>
      <c r="D11">
        <v>111.63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F17A-2C8F-4B39-8B94-5EED529A1B6A}">
  <dimension ref="A1:C6"/>
  <sheetViews>
    <sheetView workbookViewId="0">
      <selection activeCell="C13" sqref="C13"/>
    </sheetView>
  </sheetViews>
  <sheetFormatPr defaultRowHeight="14.4" x14ac:dyDescent="0.3"/>
  <cols>
    <col min="1" max="1" width="13.109375" customWidth="1"/>
    <col min="2" max="2" width="15.44140625" customWidth="1"/>
    <col min="3" max="3" width="10.6640625" customWidth="1"/>
  </cols>
  <sheetData>
    <row r="1" spans="1:3" x14ac:dyDescent="0.3">
      <c r="A1" t="s">
        <v>40</v>
      </c>
      <c r="B1" t="s">
        <v>41</v>
      </c>
      <c r="C1" t="s">
        <v>2</v>
      </c>
    </row>
    <row r="2" spans="1:3" x14ac:dyDescent="0.3">
      <c r="A2">
        <v>1</v>
      </c>
      <c r="B2">
        <v>20.8</v>
      </c>
      <c r="C2">
        <v>9405</v>
      </c>
    </row>
    <row r="3" spans="1:3" x14ac:dyDescent="0.3">
      <c r="A3">
        <v>2</v>
      </c>
      <c r="B3">
        <v>16.2</v>
      </c>
      <c r="C3">
        <v>2941</v>
      </c>
    </row>
    <row r="4" spans="1:3" x14ac:dyDescent="0.3">
      <c r="A4">
        <v>3</v>
      </c>
      <c r="B4">
        <v>13.8</v>
      </c>
      <c r="C4">
        <v>7961</v>
      </c>
    </row>
    <row r="5" spans="1:3" x14ac:dyDescent="0.3">
      <c r="A5">
        <v>4</v>
      </c>
      <c r="B5">
        <v>11.8</v>
      </c>
      <c r="C5">
        <v>18987</v>
      </c>
    </row>
    <row r="6" spans="1:3" x14ac:dyDescent="0.3">
      <c r="A6">
        <v>5</v>
      </c>
      <c r="B6">
        <v>10.199999999999999</v>
      </c>
      <c r="C6">
        <v>57059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D621-ABB0-45C5-8D29-5E3FA10FA9B0}">
  <dimension ref="A1:D6"/>
  <sheetViews>
    <sheetView zoomScale="99" workbookViewId="0">
      <selection activeCell="D16" sqref="D16"/>
    </sheetView>
  </sheetViews>
  <sheetFormatPr defaultRowHeight="14.4" x14ac:dyDescent="0.3"/>
  <cols>
    <col min="1" max="1" width="12.109375" customWidth="1"/>
    <col min="2" max="2" width="15.77734375" customWidth="1"/>
    <col min="3" max="3" width="16" customWidth="1"/>
    <col min="4" max="4" width="12.6640625" customWidth="1"/>
  </cols>
  <sheetData>
    <row r="1" spans="1:4" x14ac:dyDescent="0.3">
      <c r="A1" t="s">
        <v>42</v>
      </c>
      <c r="B1" t="s">
        <v>43</v>
      </c>
      <c r="C1" t="s">
        <v>1</v>
      </c>
      <c r="D1" t="s">
        <v>44</v>
      </c>
    </row>
    <row r="2" spans="1:4" x14ac:dyDescent="0.3">
      <c r="A2" t="s">
        <v>45</v>
      </c>
      <c r="B2">
        <v>76795</v>
      </c>
      <c r="C2">
        <v>12542084.189999999</v>
      </c>
      <c r="D2">
        <v>163.32</v>
      </c>
    </row>
    <row r="3" spans="1:4" x14ac:dyDescent="0.3">
      <c r="A3" t="s">
        <v>46</v>
      </c>
      <c r="B3">
        <v>19784</v>
      </c>
      <c r="C3">
        <v>2869361.27</v>
      </c>
      <c r="D3">
        <v>145.03</v>
      </c>
    </row>
    <row r="4" spans="1:4" x14ac:dyDescent="0.3">
      <c r="A4" t="s">
        <v>47</v>
      </c>
      <c r="B4">
        <v>5775</v>
      </c>
      <c r="C4">
        <v>379436.87</v>
      </c>
      <c r="D4">
        <v>65.7</v>
      </c>
    </row>
    <row r="5" spans="1:4" x14ac:dyDescent="0.3">
      <c r="A5" t="s">
        <v>48</v>
      </c>
      <c r="B5">
        <v>1529</v>
      </c>
      <c r="C5">
        <v>217989.79</v>
      </c>
      <c r="D5">
        <v>142.57</v>
      </c>
    </row>
    <row r="6" spans="1:4" x14ac:dyDescent="0.3">
      <c r="A6" t="s">
        <v>49</v>
      </c>
      <c r="B6">
        <v>3</v>
      </c>
      <c r="C6">
        <v>0</v>
      </c>
      <c r="D6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9DE5-3F9D-4A56-AA62-55CBBD8B0D64}">
  <dimension ref="A1:D28"/>
  <sheetViews>
    <sheetView workbookViewId="0">
      <selection activeCell="L19" sqref="L19"/>
    </sheetView>
  </sheetViews>
  <sheetFormatPr defaultRowHeight="14.4" x14ac:dyDescent="0.3"/>
  <sheetData>
    <row r="1" spans="1:4" x14ac:dyDescent="0.3">
      <c r="A1" t="s">
        <v>50</v>
      </c>
      <c r="B1" t="s">
        <v>2</v>
      </c>
      <c r="C1" t="s">
        <v>51</v>
      </c>
      <c r="D1" t="s">
        <v>41</v>
      </c>
    </row>
    <row r="2" spans="1:4" x14ac:dyDescent="0.3">
      <c r="A2" t="s">
        <v>52</v>
      </c>
      <c r="B2">
        <v>40500</v>
      </c>
      <c r="C2">
        <v>5770266.1900000004</v>
      </c>
      <c r="D2">
        <v>8.3000000000000007</v>
      </c>
    </row>
    <row r="3" spans="1:4" x14ac:dyDescent="0.3">
      <c r="A3" t="s">
        <v>53</v>
      </c>
      <c r="B3">
        <v>12350</v>
      </c>
      <c r="C3">
        <v>2055690.45</v>
      </c>
      <c r="D3">
        <v>14.9</v>
      </c>
    </row>
    <row r="4" spans="1:4" x14ac:dyDescent="0.3">
      <c r="A4" t="s">
        <v>54</v>
      </c>
      <c r="B4">
        <v>11354</v>
      </c>
      <c r="C4">
        <v>1819277.61</v>
      </c>
      <c r="D4">
        <v>11.5</v>
      </c>
    </row>
    <row r="5" spans="1:4" x14ac:dyDescent="0.3">
      <c r="A5" t="s">
        <v>55</v>
      </c>
      <c r="B5">
        <v>5345</v>
      </c>
      <c r="C5">
        <v>861802.4</v>
      </c>
      <c r="D5">
        <v>14.8</v>
      </c>
    </row>
    <row r="6" spans="1:4" x14ac:dyDescent="0.3">
      <c r="A6" t="s">
        <v>56</v>
      </c>
      <c r="B6">
        <v>4923</v>
      </c>
      <c r="C6">
        <v>781919.55</v>
      </c>
      <c r="D6">
        <v>11.6</v>
      </c>
    </row>
    <row r="7" spans="1:4" x14ac:dyDescent="0.3">
      <c r="A7" t="s">
        <v>57</v>
      </c>
      <c r="B7">
        <v>3546</v>
      </c>
      <c r="C7">
        <v>595208.4</v>
      </c>
      <c r="D7">
        <v>14.5</v>
      </c>
    </row>
    <row r="8" spans="1:4" x14ac:dyDescent="0.3">
      <c r="A8" t="s">
        <v>58</v>
      </c>
      <c r="B8">
        <v>3256</v>
      </c>
      <c r="C8">
        <v>591270.6</v>
      </c>
      <c r="D8">
        <v>18.8</v>
      </c>
    </row>
    <row r="9" spans="1:4" x14ac:dyDescent="0.3">
      <c r="A9" t="s">
        <v>59</v>
      </c>
      <c r="B9">
        <v>2080</v>
      </c>
      <c r="C9">
        <v>346146.17</v>
      </c>
      <c r="D9">
        <v>12.5</v>
      </c>
    </row>
    <row r="10" spans="1:4" x14ac:dyDescent="0.3">
      <c r="A10" t="s">
        <v>60</v>
      </c>
      <c r="B10">
        <v>1957</v>
      </c>
      <c r="C10">
        <v>334294.21999999997</v>
      </c>
      <c r="D10">
        <v>15.1</v>
      </c>
    </row>
    <row r="11" spans="1:4" x14ac:dyDescent="0.3">
      <c r="A11" t="s">
        <v>61</v>
      </c>
      <c r="B11">
        <v>1995</v>
      </c>
      <c r="C11">
        <v>317682.65000000002</v>
      </c>
      <c r="D11">
        <v>15.4</v>
      </c>
    </row>
    <row r="12" spans="1:4" x14ac:dyDescent="0.3">
      <c r="A12" t="s">
        <v>62</v>
      </c>
      <c r="B12">
        <v>1593</v>
      </c>
      <c r="C12">
        <v>309074.59000000003</v>
      </c>
      <c r="D12">
        <v>18</v>
      </c>
    </row>
    <row r="13" spans="1:4" x14ac:dyDescent="0.3">
      <c r="A13" t="s">
        <v>63</v>
      </c>
      <c r="B13">
        <v>1279</v>
      </c>
      <c r="C13">
        <v>266463.96999999997</v>
      </c>
      <c r="D13">
        <v>20.7</v>
      </c>
    </row>
    <row r="14" spans="1:4" x14ac:dyDescent="0.3">
      <c r="A14" t="s">
        <v>64</v>
      </c>
      <c r="B14">
        <v>946</v>
      </c>
      <c r="C14">
        <v>212027.55</v>
      </c>
      <c r="D14">
        <v>23.3</v>
      </c>
    </row>
    <row r="15" spans="1:4" x14ac:dyDescent="0.3">
      <c r="A15" t="s">
        <v>65</v>
      </c>
      <c r="B15">
        <v>886</v>
      </c>
      <c r="C15">
        <v>181441.72</v>
      </c>
      <c r="D15">
        <v>17.600000000000001</v>
      </c>
    </row>
    <row r="16" spans="1:4" x14ac:dyDescent="0.3">
      <c r="A16" t="s">
        <v>66</v>
      </c>
      <c r="B16">
        <v>717</v>
      </c>
      <c r="C16">
        <v>147807.29</v>
      </c>
      <c r="D16">
        <v>21.2</v>
      </c>
    </row>
    <row r="17" spans="1:4" x14ac:dyDescent="0.3">
      <c r="A17" t="s">
        <v>67</v>
      </c>
      <c r="B17">
        <v>517</v>
      </c>
      <c r="C17">
        <v>137834.65</v>
      </c>
      <c r="D17">
        <v>20</v>
      </c>
    </row>
    <row r="18" spans="1:4" x14ac:dyDescent="0.3">
      <c r="A18" t="s">
        <v>68</v>
      </c>
      <c r="B18">
        <v>701</v>
      </c>
      <c r="C18">
        <v>134421.54</v>
      </c>
      <c r="D18">
        <v>15.2</v>
      </c>
    </row>
    <row r="19" spans="1:4" x14ac:dyDescent="0.3">
      <c r="A19" t="s">
        <v>69</v>
      </c>
      <c r="B19">
        <v>476</v>
      </c>
      <c r="C19">
        <v>105272.17</v>
      </c>
      <c r="D19">
        <v>19</v>
      </c>
    </row>
    <row r="20" spans="1:4" x14ac:dyDescent="0.3">
      <c r="A20" t="s">
        <v>70</v>
      </c>
      <c r="B20">
        <v>474</v>
      </c>
      <c r="C20">
        <v>100728.3</v>
      </c>
      <c r="D20">
        <v>19.2</v>
      </c>
    </row>
    <row r="21" spans="1:4" x14ac:dyDescent="0.3">
      <c r="A21" t="s">
        <v>71</v>
      </c>
      <c r="B21">
        <v>397</v>
      </c>
      <c r="C21">
        <v>94195.79</v>
      </c>
      <c r="D21">
        <v>24.2</v>
      </c>
    </row>
    <row r="22" spans="1:4" x14ac:dyDescent="0.3">
      <c r="A22" t="s">
        <v>72</v>
      </c>
      <c r="B22">
        <v>335</v>
      </c>
      <c r="C22">
        <v>70289.13</v>
      </c>
      <c r="D22">
        <v>20.9</v>
      </c>
    </row>
    <row r="23" spans="1:4" x14ac:dyDescent="0.3">
      <c r="A23" t="s">
        <v>73</v>
      </c>
      <c r="B23">
        <v>274</v>
      </c>
      <c r="C23">
        <v>60007.37</v>
      </c>
      <c r="D23">
        <v>16.899999999999999</v>
      </c>
    </row>
    <row r="24" spans="1:4" x14ac:dyDescent="0.3">
      <c r="A24" t="s">
        <v>74</v>
      </c>
      <c r="B24">
        <v>243</v>
      </c>
      <c r="C24">
        <v>56975.7</v>
      </c>
      <c r="D24">
        <v>18.899999999999999</v>
      </c>
    </row>
    <row r="25" spans="1:4" x14ac:dyDescent="0.3">
      <c r="A25" t="s">
        <v>75</v>
      </c>
      <c r="B25">
        <v>145</v>
      </c>
      <c r="C25">
        <v>27596.18</v>
      </c>
      <c r="D25">
        <v>26.1</v>
      </c>
    </row>
    <row r="26" spans="1:4" x14ac:dyDescent="0.3">
      <c r="A26" t="s">
        <v>76</v>
      </c>
      <c r="B26">
        <v>80</v>
      </c>
      <c r="C26">
        <v>19586.25</v>
      </c>
      <c r="D26">
        <v>20.399999999999999</v>
      </c>
    </row>
    <row r="27" spans="1:4" x14ac:dyDescent="0.3">
      <c r="A27" t="s">
        <v>77</v>
      </c>
      <c r="B27">
        <v>67</v>
      </c>
      <c r="C27">
        <v>16141.81</v>
      </c>
      <c r="D27">
        <v>26.7</v>
      </c>
    </row>
    <row r="28" spans="1:4" x14ac:dyDescent="0.3">
      <c r="A28" t="s">
        <v>78</v>
      </c>
      <c r="B28">
        <v>41</v>
      </c>
      <c r="C28">
        <v>9039.52</v>
      </c>
      <c r="D28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177F-C885-4103-B4AE-E79EF63E3F9C}">
  <dimension ref="A1:B10"/>
  <sheetViews>
    <sheetView workbookViewId="0">
      <selection activeCell="D13" sqref="D13"/>
    </sheetView>
  </sheetViews>
  <sheetFormatPr defaultRowHeight="14.4" x14ac:dyDescent="0.3"/>
  <cols>
    <col min="1" max="1" width="34" bestFit="1" customWidth="1"/>
    <col min="2" max="2" width="20" style="2" customWidth="1"/>
  </cols>
  <sheetData>
    <row r="1" spans="1:2" ht="22.05" customHeight="1" x14ac:dyDescent="0.4">
      <c r="A1" s="6" t="s">
        <v>93</v>
      </c>
      <c r="B1" s="6"/>
    </row>
    <row r="2" spans="1:2" x14ac:dyDescent="0.3">
      <c r="A2" t="s">
        <v>79</v>
      </c>
      <c r="B2" s="2" t="s">
        <v>80</v>
      </c>
    </row>
    <row r="3" spans="1:2" x14ac:dyDescent="0.3">
      <c r="A3" t="s">
        <v>81</v>
      </c>
      <c r="B3" s="2" t="s">
        <v>89</v>
      </c>
    </row>
    <row r="4" spans="1:2" x14ac:dyDescent="0.3">
      <c r="A4" t="s">
        <v>82</v>
      </c>
      <c r="B4" s="4">
        <v>99441</v>
      </c>
    </row>
    <row r="5" spans="1:2" x14ac:dyDescent="0.3">
      <c r="A5" t="s">
        <v>83</v>
      </c>
      <c r="B5" s="2" t="s">
        <v>90</v>
      </c>
    </row>
    <row r="6" spans="1:2" x14ac:dyDescent="0.3">
      <c r="A6" t="s">
        <v>84</v>
      </c>
      <c r="B6" s="2">
        <v>12.1</v>
      </c>
    </row>
    <row r="7" spans="1:2" x14ac:dyDescent="0.3">
      <c r="A7" t="s">
        <v>85</v>
      </c>
      <c r="B7" s="5">
        <v>0.59199999999999997</v>
      </c>
    </row>
    <row r="8" spans="1:2" x14ac:dyDescent="0.3">
      <c r="A8" t="s">
        <v>86</v>
      </c>
      <c r="B8" s="2" t="s">
        <v>91</v>
      </c>
    </row>
    <row r="9" spans="1:2" x14ac:dyDescent="0.3">
      <c r="A9" t="s">
        <v>87</v>
      </c>
      <c r="B9" s="2" t="s">
        <v>92</v>
      </c>
    </row>
    <row r="10" spans="1:2" x14ac:dyDescent="0.3">
      <c r="A10" t="s">
        <v>88</v>
      </c>
      <c r="B10" s="5">
        <v>0.73899999999999999</v>
      </c>
    </row>
  </sheetData>
  <mergeCells count="1">
    <mergeCell ref="A1:B1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A28D-72B3-44DF-9C14-2E3932E619C4}">
  <dimension ref="A1:D22"/>
  <sheetViews>
    <sheetView workbookViewId="0">
      <selection activeCell="B13" sqref="B13"/>
    </sheetView>
  </sheetViews>
  <sheetFormatPr defaultRowHeight="14.4" x14ac:dyDescent="0.3"/>
  <cols>
    <col min="1" max="1" width="14.109375" customWidth="1"/>
    <col min="2" max="2" width="14.6640625" customWidth="1"/>
    <col min="3" max="3" width="13.109375" customWidth="1"/>
    <col min="4" max="4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46566.71</v>
      </c>
      <c r="C2">
        <v>265</v>
      </c>
      <c r="D2">
        <v>165.13</v>
      </c>
    </row>
    <row r="3" spans="1:4" x14ac:dyDescent="0.3">
      <c r="A3" t="s">
        <v>5</v>
      </c>
      <c r="B3">
        <v>127545.67</v>
      </c>
      <c r="C3">
        <v>750</v>
      </c>
      <c r="D3">
        <v>159.63</v>
      </c>
    </row>
    <row r="4" spans="1:4" x14ac:dyDescent="0.3">
      <c r="A4" t="s">
        <v>6</v>
      </c>
      <c r="B4">
        <v>271298.65000000002</v>
      </c>
      <c r="C4">
        <v>1653</v>
      </c>
      <c r="D4">
        <v>155.12</v>
      </c>
    </row>
    <row r="5" spans="1:4" x14ac:dyDescent="0.3">
      <c r="A5" t="s">
        <v>7</v>
      </c>
      <c r="B5">
        <v>414369.39</v>
      </c>
      <c r="C5">
        <v>2546</v>
      </c>
      <c r="D5">
        <v>153.47</v>
      </c>
    </row>
    <row r="6" spans="1:4" x14ac:dyDescent="0.3">
      <c r="A6" t="s">
        <v>8</v>
      </c>
      <c r="B6">
        <v>390952.18</v>
      </c>
      <c r="C6">
        <v>2303</v>
      </c>
      <c r="D6">
        <v>160.49</v>
      </c>
    </row>
    <row r="7" spans="1:4" x14ac:dyDescent="0.3">
      <c r="A7" t="s">
        <v>9</v>
      </c>
      <c r="B7">
        <v>567066.73</v>
      </c>
      <c r="C7">
        <v>3546</v>
      </c>
      <c r="D7">
        <v>149.74</v>
      </c>
    </row>
    <row r="8" spans="1:4" x14ac:dyDescent="0.3">
      <c r="A8" t="s">
        <v>10</v>
      </c>
      <c r="B8">
        <v>490225.6</v>
      </c>
      <c r="C8">
        <v>3135</v>
      </c>
      <c r="D8">
        <v>147.53</v>
      </c>
    </row>
    <row r="9" spans="1:4" x14ac:dyDescent="0.3">
      <c r="A9" t="s">
        <v>11</v>
      </c>
      <c r="B9">
        <v>566403.93000000005</v>
      </c>
      <c r="C9">
        <v>3872</v>
      </c>
      <c r="D9">
        <v>136.58000000000001</v>
      </c>
    </row>
    <row r="10" spans="1:4" x14ac:dyDescent="0.3">
      <c r="A10" t="s">
        <v>12</v>
      </c>
      <c r="B10">
        <v>646000.61</v>
      </c>
      <c r="C10">
        <v>4193</v>
      </c>
      <c r="D10">
        <v>147.05000000000001</v>
      </c>
    </row>
    <row r="11" spans="1:4" x14ac:dyDescent="0.3">
      <c r="A11" t="s">
        <v>13</v>
      </c>
      <c r="B11">
        <v>701169.99</v>
      </c>
      <c r="C11">
        <v>4150</v>
      </c>
      <c r="D11">
        <v>160.41</v>
      </c>
    </row>
    <row r="12" spans="1:4" x14ac:dyDescent="0.3">
      <c r="A12" t="s">
        <v>14</v>
      </c>
      <c r="B12">
        <v>751140.27</v>
      </c>
      <c r="C12">
        <v>4478</v>
      </c>
      <c r="D12">
        <v>159.88999999999999</v>
      </c>
    </row>
    <row r="13" spans="1:4" x14ac:dyDescent="0.3">
      <c r="A13" t="s">
        <v>15</v>
      </c>
      <c r="B13">
        <v>1153528.05</v>
      </c>
      <c r="C13">
        <v>7289</v>
      </c>
      <c r="D13">
        <v>151.91999999999999</v>
      </c>
    </row>
    <row r="14" spans="1:4" x14ac:dyDescent="0.3">
      <c r="A14" t="s">
        <v>16</v>
      </c>
      <c r="B14">
        <v>843199.17</v>
      </c>
      <c r="C14">
        <v>5513</v>
      </c>
      <c r="D14">
        <v>147.18</v>
      </c>
    </row>
    <row r="15" spans="1:4" x14ac:dyDescent="0.3">
      <c r="A15" t="s">
        <v>17</v>
      </c>
      <c r="B15">
        <v>1078606.8600000001</v>
      </c>
      <c r="C15">
        <v>7069</v>
      </c>
      <c r="D15">
        <v>146.72999999999999</v>
      </c>
    </row>
    <row r="16" spans="1:4" x14ac:dyDescent="0.3">
      <c r="A16" t="s">
        <v>18</v>
      </c>
      <c r="B16">
        <v>966510.88</v>
      </c>
      <c r="C16">
        <v>6555</v>
      </c>
      <c r="D16">
        <v>142.63999999999999</v>
      </c>
    </row>
    <row r="17" spans="1:4" x14ac:dyDescent="0.3">
      <c r="A17" t="s">
        <v>19</v>
      </c>
      <c r="B17">
        <v>1120678</v>
      </c>
      <c r="C17">
        <v>7003</v>
      </c>
      <c r="D17">
        <v>153.58000000000001</v>
      </c>
    </row>
    <row r="18" spans="1:4" x14ac:dyDescent="0.3">
      <c r="A18" t="s">
        <v>20</v>
      </c>
      <c r="B18">
        <v>1132933.95</v>
      </c>
      <c r="C18">
        <v>6798</v>
      </c>
      <c r="D18">
        <v>160.31</v>
      </c>
    </row>
    <row r="19" spans="1:4" x14ac:dyDescent="0.3">
      <c r="A19" t="s">
        <v>21</v>
      </c>
      <c r="B19">
        <v>1128836.69</v>
      </c>
      <c r="C19">
        <v>6749</v>
      </c>
      <c r="D19">
        <v>161.22</v>
      </c>
    </row>
    <row r="20" spans="1:4" x14ac:dyDescent="0.3">
      <c r="A20" t="s">
        <v>22</v>
      </c>
      <c r="B20">
        <v>1012090.68</v>
      </c>
      <c r="C20">
        <v>6099</v>
      </c>
      <c r="D20">
        <v>159.38</v>
      </c>
    </row>
    <row r="21" spans="1:4" x14ac:dyDescent="0.3">
      <c r="A21" t="s">
        <v>23</v>
      </c>
      <c r="B21">
        <v>1027903.86</v>
      </c>
      <c r="C21">
        <v>6159</v>
      </c>
      <c r="D21">
        <v>161.37</v>
      </c>
    </row>
    <row r="22" spans="1:4" x14ac:dyDescent="0.3">
      <c r="A22" t="s">
        <v>24</v>
      </c>
      <c r="B22">
        <v>985414.28</v>
      </c>
      <c r="C22">
        <v>6351</v>
      </c>
      <c r="D22">
        <v>150.79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Revenue Pivot</vt:lpstr>
      <vt:lpstr>Top Categories</vt:lpstr>
      <vt:lpstr>Delivery vs Score</vt:lpstr>
      <vt:lpstr>Payment Methods</vt:lpstr>
      <vt:lpstr>Revenue by State</vt:lpstr>
      <vt:lpstr>Dashboard</vt:lpstr>
      <vt:lpstr>sql_monthly_revenue</vt:lpstr>
      <vt:lpstr>Revenue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prathyusha</dc:creator>
  <cp:lastModifiedBy>Prathyusha mekala</cp:lastModifiedBy>
  <dcterms:created xsi:type="dcterms:W3CDTF">2026-04-07T06:43:33Z</dcterms:created>
  <dcterms:modified xsi:type="dcterms:W3CDTF">2026-04-07T13:06:10Z</dcterms:modified>
</cp:coreProperties>
</file>